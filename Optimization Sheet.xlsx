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ey\Optimization-Course\"/>
    </mc:Choice>
  </mc:AlternateContent>
  <xr:revisionPtr revIDLastSave="0" documentId="13_ncr:1_{49B39F2A-10CB-4F1C-A5C9-EF1F38A39CF9}" xr6:coauthVersionLast="47" xr6:coauthVersionMax="47" xr10:uidLastSave="{00000000-0000-0000-0000-000000000000}"/>
  <bookViews>
    <workbookView xWindow="-110" yWindow="-110" windowWidth="19420" windowHeight="11500" firstSheet="3" activeTab="5" xr2:uid="{5AD50F6C-02AF-4DBD-AF8F-63AA420B5847}"/>
  </bookViews>
  <sheets>
    <sheet name="ProjectSel1" sheetId="1" r:id="rId1"/>
    <sheet name="Prodline" sheetId="4" r:id="rId2"/>
    <sheet name="Assemble" sheetId="3" r:id="rId3"/>
    <sheet name="MandD" sheetId="5" r:id="rId4"/>
    <sheet name="Rocks" sheetId="7" r:id="rId5"/>
    <sheet name="Hosp" sheetId="8" r:id="rId6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MandD!$G$13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D3" i="8"/>
  <c r="C3" i="8"/>
  <c r="B3" i="8"/>
  <c r="H6" i="5"/>
  <c r="G6" i="5"/>
  <c r="F6" i="5"/>
  <c r="E6" i="5"/>
  <c r="D6" i="5"/>
  <c r="C6" i="5"/>
  <c r="B6" i="5"/>
</calcChain>
</file>

<file path=xl/sharedStrings.xml><?xml version="1.0" encoding="utf-8"?>
<sst xmlns="http://schemas.openxmlformats.org/spreadsheetml/2006/main" count="51" uniqueCount="44">
  <si>
    <t>Profit</t>
  </si>
  <si>
    <t>Max</t>
  </si>
  <si>
    <t>Type1</t>
  </si>
  <si>
    <t>Type2</t>
  </si>
  <si>
    <t>Type3</t>
  </si>
  <si>
    <t>Type4</t>
  </si>
  <si>
    <t>Type5</t>
  </si>
  <si>
    <t>Mach 1</t>
  </si>
  <si>
    <t>Mach 2</t>
  </si>
  <si>
    <t>Mach 3</t>
  </si>
  <si>
    <t>Min</t>
  </si>
  <si>
    <t>m1</t>
  </si>
  <si>
    <t>m2</t>
  </si>
  <si>
    <t>Cases</t>
  </si>
  <si>
    <t>chemicals</t>
  </si>
  <si>
    <t>min</t>
  </si>
  <si>
    <t>max</t>
  </si>
  <si>
    <t>Cost</t>
  </si>
  <si>
    <t>Tacoma</t>
  </si>
  <si>
    <t>San Diego</t>
  </si>
  <si>
    <t>Dallas</t>
  </si>
  <si>
    <t>Denver</t>
  </si>
  <si>
    <t>St. Louis</t>
  </si>
  <si>
    <t>Tampa</t>
  </si>
  <si>
    <t>Baltimore</t>
  </si>
  <si>
    <t>Capacity</t>
  </si>
  <si>
    <t>Macon</t>
  </si>
  <si>
    <t>Louisville</t>
  </si>
  <si>
    <t>Detroit</t>
  </si>
  <si>
    <t>Phoenix</t>
  </si>
  <si>
    <t>Dmin</t>
  </si>
  <si>
    <t>Dmax</t>
  </si>
  <si>
    <t>Fine</t>
  </si>
  <si>
    <t>Medium</t>
  </si>
  <si>
    <t>Coarse</t>
  </si>
  <si>
    <t>Limestone</t>
  </si>
  <si>
    <t>Chat</t>
  </si>
  <si>
    <t>Redi-Mix</t>
  </si>
  <si>
    <t>Rough</t>
  </si>
  <si>
    <t>Stay (hours)</t>
  </si>
  <si>
    <t>Surg</t>
  </si>
  <si>
    <t>Face</t>
  </si>
  <si>
    <t>Lipo</t>
  </si>
  <si>
    <t>Implant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</si>
</sst>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30712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195F-1A98-4196-A97A-11269F5813C6}">
  <dimension ref="A1:V32"/>
  <sheetViews>
    <sheetView workbookViewId="0">
      <selection activeCell="C13" sqref="C13"/>
    </sheetView>
  </sheetViews>
  <sheetFormatPr defaultRowHeight="14.5" x14ac:dyDescent="0.35"/>
  <sheetData>
    <row r="1" spans="1:1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</row>
    <row r="2" spans="1:17" x14ac:dyDescent="0.35">
      <c r="A2">
        <v>2016</v>
      </c>
      <c r="B2">
        <v>400</v>
      </c>
      <c r="C2">
        <v>500</v>
      </c>
      <c r="D2">
        <v>200</v>
      </c>
      <c r="E2">
        <v>300</v>
      </c>
      <c r="F2">
        <v>450</v>
      </c>
      <c r="G2">
        <v>650</v>
      </c>
      <c r="H2">
        <v>350</v>
      </c>
      <c r="I2">
        <v>300</v>
      </c>
      <c r="J2">
        <v>500</v>
      </c>
      <c r="K2">
        <v>600</v>
      </c>
      <c r="L2">
        <v>150</v>
      </c>
      <c r="M2">
        <v>250</v>
      </c>
      <c r="N2">
        <v>220</v>
      </c>
      <c r="O2">
        <v>170</v>
      </c>
      <c r="P2">
        <v>420</v>
      </c>
      <c r="Q2">
        <v>3500</v>
      </c>
    </row>
    <row r="3" spans="1:17" x14ac:dyDescent="0.35">
      <c r="A3">
        <v>2017</v>
      </c>
      <c r="B3">
        <v>230</v>
      </c>
      <c r="C3">
        <v>270</v>
      </c>
      <c r="D3">
        <v>430</v>
      </c>
      <c r="E3">
        <v>220</v>
      </c>
      <c r="F3">
        <v>500</v>
      </c>
      <c r="G3">
        <v>450</v>
      </c>
      <c r="H3">
        <v>530</v>
      </c>
      <c r="I3">
        <v>700</v>
      </c>
      <c r="J3">
        <v>800</v>
      </c>
      <c r="K3">
        <v>250</v>
      </c>
      <c r="L3">
        <v>500</v>
      </c>
      <c r="M3">
        <v>340</v>
      </c>
      <c r="N3">
        <v>400</v>
      </c>
      <c r="O3">
        <v>300</v>
      </c>
      <c r="P3">
        <v>400</v>
      </c>
      <c r="Q3">
        <v>4500</v>
      </c>
    </row>
    <row r="4" spans="1:17" x14ac:dyDescent="0.35">
      <c r="A4">
        <v>2018</v>
      </c>
      <c r="B4">
        <v>330</v>
      </c>
      <c r="C4">
        <v>260</v>
      </c>
      <c r="D4">
        <v>430</v>
      </c>
      <c r="E4">
        <v>270</v>
      </c>
      <c r="F4">
        <v>400</v>
      </c>
      <c r="G4">
        <v>320</v>
      </c>
      <c r="H4">
        <v>330</v>
      </c>
      <c r="I4">
        <v>260</v>
      </c>
      <c r="J4">
        <v>430</v>
      </c>
      <c r="K4">
        <v>270</v>
      </c>
      <c r="L4">
        <v>400</v>
      </c>
      <c r="M4">
        <v>320</v>
      </c>
      <c r="N4">
        <v>250</v>
      </c>
      <c r="O4">
        <v>300</v>
      </c>
      <c r="P4">
        <v>260</v>
      </c>
      <c r="Q4">
        <v>4000</v>
      </c>
    </row>
    <row r="5" spans="1:17" x14ac:dyDescent="0.35">
      <c r="A5">
        <v>2019</v>
      </c>
      <c r="B5">
        <v>400</v>
      </c>
      <c r="C5">
        <v>500</v>
      </c>
      <c r="D5">
        <v>200</v>
      </c>
      <c r="E5">
        <v>300</v>
      </c>
      <c r="F5">
        <v>450</v>
      </c>
      <c r="G5">
        <v>650</v>
      </c>
      <c r="H5">
        <v>350</v>
      </c>
      <c r="I5">
        <v>300</v>
      </c>
      <c r="J5">
        <v>500</v>
      </c>
      <c r="K5">
        <v>600</v>
      </c>
      <c r="L5">
        <v>150</v>
      </c>
      <c r="M5">
        <v>250</v>
      </c>
      <c r="N5">
        <v>220</v>
      </c>
      <c r="O5">
        <v>170</v>
      </c>
      <c r="P5">
        <v>420</v>
      </c>
      <c r="Q5">
        <v>3450</v>
      </c>
    </row>
    <row r="6" spans="1:17" x14ac:dyDescent="0.35">
      <c r="A6">
        <v>2020</v>
      </c>
      <c r="B6">
        <v>230</v>
      </c>
      <c r="C6">
        <v>270</v>
      </c>
      <c r="D6">
        <v>430</v>
      </c>
      <c r="E6">
        <v>220</v>
      </c>
      <c r="F6">
        <v>500</v>
      </c>
      <c r="G6">
        <v>450</v>
      </c>
      <c r="H6">
        <v>530</v>
      </c>
      <c r="I6">
        <v>700</v>
      </c>
      <c r="J6">
        <v>800</v>
      </c>
      <c r="K6">
        <v>250</v>
      </c>
      <c r="L6">
        <v>500</v>
      </c>
      <c r="M6">
        <v>340</v>
      </c>
      <c r="N6">
        <v>270</v>
      </c>
      <c r="O6">
        <v>300</v>
      </c>
      <c r="P6">
        <v>400</v>
      </c>
      <c r="Q6">
        <v>4500</v>
      </c>
    </row>
    <row r="7" spans="1:17" x14ac:dyDescent="0.35">
      <c r="A7" t="s">
        <v>0</v>
      </c>
      <c r="B7">
        <v>1500</v>
      </c>
      <c r="C7">
        <v>2000</v>
      </c>
      <c r="D7">
        <v>2500</v>
      </c>
      <c r="E7">
        <v>7000</v>
      </c>
      <c r="F7">
        <v>4000</v>
      </c>
      <c r="G7">
        <v>3000</v>
      </c>
      <c r="H7">
        <v>4500</v>
      </c>
      <c r="I7">
        <v>3500</v>
      </c>
      <c r="J7">
        <v>1500</v>
      </c>
      <c r="K7">
        <v>2000</v>
      </c>
      <c r="L7">
        <v>2500</v>
      </c>
      <c r="M7">
        <v>7000</v>
      </c>
      <c r="N7">
        <v>4000</v>
      </c>
      <c r="O7">
        <v>3000</v>
      </c>
      <c r="P7">
        <v>4500</v>
      </c>
    </row>
    <row r="13" spans="1:17" x14ac:dyDescent="0.35">
      <c r="C13" s="2"/>
      <c r="D13" s="2"/>
      <c r="E13" s="2"/>
      <c r="F13" s="2"/>
      <c r="G13" s="2"/>
    </row>
    <row r="17" spans="16:22" x14ac:dyDescent="0.35">
      <c r="P17" s="1"/>
      <c r="Q17" s="1"/>
      <c r="R17" s="1"/>
      <c r="S17" s="1"/>
      <c r="T17" s="1"/>
      <c r="U17" s="1"/>
      <c r="V17" s="1"/>
    </row>
    <row r="18" spans="16:22" x14ac:dyDescent="0.35">
      <c r="P18" s="1"/>
      <c r="Q18" s="1"/>
      <c r="R18" s="1"/>
      <c r="S18" s="1"/>
      <c r="T18" s="1"/>
      <c r="U18" s="1"/>
      <c r="V18" s="1"/>
    </row>
    <row r="19" spans="16:22" x14ac:dyDescent="0.35">
      <c r="P19" s="1"/>
      <c r="Q19" s="1"/>
      <c r="R19" s="1"/>
      <c r="S19" s="1"/>
      <c r="T19" s="1"/>
      <c r="U19" s="1"/>
      <c r="V19" s="1"/>
    </row>
    <row r="20" spans="16:22" x14ac:dyDescent="0.35">
      <c r="P20" s="1"/>
      <c r="Q20" s="1"/>
      <c r="R20" s="1"/>
      <c r="S20" s="1"/>
      <c r="T20" s="1"/>
      <c r="U20" s="1"/>
      <c r="V20" s="1"/>
    </row>
    <row r="21" spans="16:22" x14ac:dyDescent="0.35">
      <c r="P21" s="1"/>
      <c r="Q21" s="1"/>
      <c r="R21" s="1"/>
      <c r="S21" s="1"/>
      <c r="T21" s="1"/>
      <c r="U21" s="1"/>
      <c r="V21" s="1"/>
    </row>
    <row r="22" spans="16:22" x14ac:dyDescent="0.35">
      <c r="P22" s="1"/>
      <c r="Q22" s="1"/>
      <c r="R22" s="1"/>
      <c r="S22" s="1"/>
      <c r="T22" s="1"/>
      <c r="U22" s="1"/>
      <c r="V22" s="1"/>
    </row>
    <row r="23" spans="16:22" x14ac:dyDescent="0.35">
      <c r="P23" s="1"/>
      <c r="Q23" s="1"/>
      <c r="R23" s="1"/>
      <c r="S23" s="1"/>
      <c r="T23" s="1"/>
      <c r="U23" s="1"/>
      <c r="V23" s="1"/>
    </row>
    <row r="24" spans="16:22" x14ac:dyDescent="0.35">
      <c r="P24" s="1"/>
      <c r="Q24" s="1"/>
      <c r="R24" s="1"/>
      <c r="S24" s="1"/>
      <c r="T24" s="1"/>
      <c r="U24" s="1"/>
      <c r="V24" s="1"/>
    </row>
    <row r="25" spans="16:22" x14ac:dyDescent="0.35">
      <c r="P25" s="1"/>
      <c r="Q25" s="1"/>
      <c r="R25" s="1"/>
      <c r="S25" s="1"/>
      <c r="T25" s="1"/>
      <c r="U25" s="1"/>
      <c r="V25" s="1"/>
    </row>
    <row r="26" spans="16:22" x14ac:dyDescent="0.35">
      <c r="P26" s="1"/>
      <c r="Q26" s="1"/>
      <c r="R26" s="1"/>
      <c r="S26" s="1"/>
      <c r="T26" s="1"/>
      <c r="U26" s="1"/>
      <c r="V26" s="1"/>
    </row>
    <row r="27" spans="16:22" x14ac:dyDescent="0.35">
      <c r="P27" s="1"/>
      <c r="Q27" s="1"/>
      <c r="R27" s="1"/>
      <c r="S27" s="1"/>
      <c r="T27" s="1"/>
      <c r="U27" s="1"/>
      <c r="V27" s="1"/>
    </row>
    <row r="28" spans="16:22" x14ac:dyDescent="0.35">
      <c r="P28" s="1"/>
      <c r="Q28" s="1"/>
      <c r="R28" s="1"/>
      <c r="S28" s="1"/>
      <c r="T28" s="1"/>
      <c r="U28" s="1"/>
      <c r="V28" s="1"/>
    </row>
    <row r="29" spans="16:22" x14ac:dyDescent="0.35">
      <c r="P29" s="1"/>
      <c r="Q29" s="1"/>
      <c r="R29" s="1"/>
      <c r="S29" s="1"/>
      <c r="T29" s="1"/>
      <c r="U29" s="1"/>
      <c r="V29" s="1"/>
    </row>
    <row r="30" spans="16:22" x14ac:dyDescent="0.35">
      <c r="P30" s="1"/>
      <c r="Q30" s="1"/>
      <c r="R30" s="1"/>
      <c r="S30" s="1"/>
      <c r="T30" s="1"/>
      <c r="U30" s="1"/>
      <c r="V30" s="1"/>
    </row>
    <row r="31" spans="16:22" x14ac:dyDescent="0.35">
      <c r="P31" s="1"/>
      <c r="Q31" s="1"/>
      <c r="R31" s="1"/>
      <c r="S31" s="1"/>
      <c r="T31" s="1"/>
      <c r="U31" s="1"/>
      <c r="V31" s="1"/>
    </row>
    <row r="32" spans="16:22" x14ac:dyDescent="0.35">
      <c r="P32" s="1"/>
      <c r="Q32" s="1"/>
      <c r="R32" s="1"/>
      <c r="S32" s="1"/>
      <c r="T32" s="1"/>
      <c r="U32" s="1"/>
      <c r="V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06F12-F98F-46B2-AF8E-5AAD2FC48A9D}">
  <dimension ref="A1:D9"/>
  <sheetViews>
    <sheetView workbookViewId="0">
      <selection activeCell="B16" sqref="B16"/>
    </sheetView>
  </sheetViews>
  <sheetFormatPr defaultRowHeight="14.5" x14ac:dyDescent="0.35"/>
  <sheetData>
    <row r="1" spans="1:4" x14ac:dyDescent="0.35">
      <c r="B1" t="s">
        <v>11</v>
      </c>
      <c r="C1" t="s">
        <v>12</v>
      </c>
    </row>
    <row r="2" spans="1:4" x14ac:dyDescent="0.35">
      <c r="A2" t="s">
        <v>13</v>
      </c>
      <c r="B2">
        <v>25</v>
      </c>
      <c r="C2">
        <v>40</v>
      </c>
    </row>
    <row r="3" spans="1:4" x14ac:dyDescent="0.35">
      <c r="D3" t="s">
        <v>1</v>
      </c>
    </row>
    <row r="4" spans="1:4" x14ac:dyDescent="0.35">
      <c r="A4" t="s">
        <v>14</v>
      </c>
      <c r="B4">
        <v>1.6</v>
      </c>
      <c r="C4">
        <v>1.25</v>
      </c>
      <c r="D4">
        <v>1000</v>
      </c>
    </row>
    <row r="6" spans="1:4" x14ac:dyDescent="0.35">
      <c r="A6" t="s">
        <v>15</v>
      </c>
      <c r="B6">
        <v>125</v>
      </c>
      <c r="C6">
        <v>200</v>
      </c>
    </row>
    <row r="7" spans="1:4" x14ac:dyDescent="0.35">
      <c r="A7" t="s">
        <v>16</v>
      </c>
      <c r="B7">
        <v>375</v>
      </c>
      <c r="C7">
        <v>400</v>
      </c>
    </row>
    <row r="9" spans="1:4" x14ac:dyDescent="0.35">
      <c r="A9" t="s">
        <v>17</v>
      </c>
      <c r="B9">
        <v>2</v>
      </c>
      <c r="C9">
        <v>1.875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D829-11CA-4D4E-AA3B-AE70ED39CE68}">
  <dimension ref="A1:E8"/>
  <sheetViews>
    <sheetView workbookViewId="0">
      <selection activeCell="F13" sqref="F13"/>
    </sheetView>
  </sheetViews>
  <sheetFormatPr defaultRowHeight="14.5" x14ac:dyDescent="0.35"/>
  <sheetData>
    <row r="1" spans="1:5" x14ac:dyDescent="0.35">
      <c r="B1" t="s">
        <v>7</v>
      </c>
      <c r="C1" t="s">
        <v>8</v>
      </c>
      <c r="D1" t="s">
        <v>9</v>
      </c>
      <c r="E1" t="s">
        <v>10</v>
      </c>
    </row>
    <row r="2" spans="1:5" x14ac:dyDescent="0.35">
      <c r="A2" t="s">
        <v>17</v>
      </c>
      <c r="B2">
        <v>18500</v>
      </c>
      <c r="C2">
        <v>25000</v>
      </c>
      <c r="D2">
        <v>35000</v>
      </c>
    </row>
    <row r="4" spans="1:5" x14ac:dyDescent="0.35">
      <c r="A4" t="s">
        <v>2</v>
      </c>
      <c r="B4">
        <v>100</v>
      </c>
      <c r="C4">
        <v>265</v>
      </c>
      <c r="D4">
        <v>200</v>
      </c>
      <c r="E4">
        <v>3200</v>
      </c>
    </row>
    <row r="5" spans="1:5" x14ac:dyDescent="0.35">
      <c r="A5" t="s">
        <v>3</v>
      </c>
      <c r="B5">
        <v>130</v>
      </c>
      <c r="C5">
        <v>235</v>
      </c>
      <c r="D5">
        <v>160</v>
      </c>
      <c r="E5">
        <v>2500</v>
      </c>
    </row>
    <row r="6" spans="1:5" x14ac:dyDescent="0.35">
      <c r="A6" t="s">
        <v>4</v>
      </c>
      <c r="B6">
        <v>140</v>
      </c>
      <c r="C6">
        <v>170</v>
      </c>
      <c r="D6">
        <v>260</v>
      </c>
      <c r="E6">
        <v>3500</v>
      </c>
    </row>
    <row r="7" spans="1:5" x14ac:dyDescent="0.35">
      <c r="A7" t="s">
        <v>5</v>
      </c>
      <c r="B7">
        <v>210</v>
      </c>
      <c r="C7">
        <v>220</v>
      </c>
      <c r="D7">
        <v>180</v>
      </c>
      <c r="E7">
        <v>3000</v>
      </c>
    </row>
    <row r="8" spans="1:5" x14ac:dyDescent="0.35">
      <c r="A8" t="s">
        <v>6</v>
      </c>
      <c r="B8">
        <v>80</v>
      </c>
      <c r="C8">
        <v>120</v>
      </c>
      <c r="D8">
        <v>220</v>
      </c>
      <c r="E8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15-4A1A-4BF6-B513-6A60DEA84C0F}">
  <dimension ref="A1:J7"/>
  <sheetViews>
    <sheetView workbookViewId="0">
      <selection activeCell="G13" sqref="G13"/>
    </sheetView>
  </sheetViews>
  <sheetFormatPr defaultRowHeight="14.5" x14ac:dyDescent="0.35"/>
  <sheetData>
    <row r="1" spans="1:10" ht="15" customHeight="1" x14ac:dyDescent="0.35">
      <c r="A1" s="3"/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17</v>
      </c>
    </row>
    <row r="2" spans="1:10" x14ac:dyDescent="0.35">
      <c r="A2" s="3" t="s">
        <v>26</v>
      </c>
      <c r="B2" s="3">
        <v>2.5</v>
      </c>
      <c r="C2" s="3">
        <v>2.75</v>
      </c>
      <c r="D2" s="3">
        <v>1.75</v>
      </c>
      <c r="E2" s="3">
        <v>2</v>
      </c>
      <c r="F2" s="3">
        <v>2.1</v>
      </c>
      <c r="G2" s="3">
        <v>1.8</v>
      </c>
      <c r="H2" s="3">
        <v>1.65</v>
      </c>
      <c r="I2" s="3">
        <v>18000</v>
      </c>
      <c r="J2" s="3">
        <v>35.5</v>
      </c>
    </row>
    <row r="3" spans="1:10" x14ac:dyDescent="0.35">
      <c r="A3" s="3" t="s">
        <v>27</v>
      </c>
      <c r="B3" s="3">
        <v>1.85</v>
      </c>
      <c r="C3" s="3">
        <v>1.9</v>
      </c>
      <c r="D3" s="3">
        <v>1.5</v>
      </c>
      <c r="E3" s="3">
        <v>1.6</v>
      </c>
      <c r="F3" s="3">
        <v>1</v>
      </c>
      <c r="G3" s="3">
        <v>1.9</v>
      </c>
      <c r="H3" s="3">
        <v>1.85</v>
      </c>
      <c r="I3" s="3">
        <v>15000</v>
      </c>
      <c r="J3" s="3">
        <v>37.5</v>
      </c>
    </row>
    <row r="4" spans="1:10" x14ac:dyDescent="0.35">
      <c r="A4" s="3" t="s">
        <v>28</v>
      </c>
      <c r="B4" s="3">
        <v>2.2999999999999998</v>
      </c>
      <c r="C4" s="3">
        <v>2.25</v>
      </c>
      <c r="D4" s="3">
        <v>1.85</v>
      </c>
      <c r="E4" s="3">
        <v>1.25</v>
      </c>
      <c r="F4" s="3">
        <v>1.5</v>
      </c>
      <c r="G4" s="3">
        <v>2.25</v>
      </c>
      <c r="H4" s="3">
        <v>2</v>
      </c>
      <c r="I4" s="3">
        <v>25000</v>
      </c>
      <c r="J4" s="3">
        <v>39</v>
      </c>
    </row>
    <row r="5" spans="1:10" x14ac:dyDescent="0.35">
      <c r="A5" s="3" t="s">
        <v>29</v>
      </c>
      <c r="B5" s="3">
        <v>1.9</v>
      </c>
      <c r="C5" s="3">
        <v>0.9</v>
      </c>
      <c r="D5" s="3">
        <v>1.6</v>
      </c>
      <c r="E5" s="3">
        <v>1.75</v>
      </c>
      <c r="F5" s="3">
        <v>2</v>
      </c>
      <c r="G5" s="3">
        <v>2.5</v>
      </c>
      <c r="H5" s="3">
        <v>2.65</v>
      </c>
      <c r="I5" s="3">
        <v>20000</v>
      </c>
      <c r="J5" s="3">
        <v>36.25</v>
      </c>
    </row>
    <row r="6" spans="1:10" x14ac:dyDescent="0.35">
      <c r="A6" s="3" t="s">
        <v>30</v>
      </c>
      <c r="B6" s="3">
        <f>8500*0.8</f>
        <v>6800</v>
      </c>
      <c r="C6" s="3">
        <f>0.8*14500</f>
        <v>11600</v>
      </c>
      <c r="D6" s="3">
        <f>0.8*13500</f>
        <v>10800</v>
      </c>
      <c r="E6" s="3">
        <f>0.8*12600</f>
        <v>10080</v>
      </c>
      <c r="F6" s="3">
        <f>0.8*18000</f>
        <v>14400</v>
      </c>
      <c r="G6" s="3">
        <f>0.8*15000</f>
        <v>12000</v>
      </c>
      <c r="H6" s="3">
        <f>0.8*9000</f>
        <v>7200</v>
      </c>
      <c r="I6" s="3"/>
      <c r="J6" s="3"/>
    </row>
    <row r="7" spans="1:10" x14ac:dyDescent="0.35">
      <c r="A7" s="3" t="s">
        <v>31</v>
      </c>
      <c r="B7" s="2">
        <v>8500</v>
      </c>
      <c r="C7" s="2">
        <v>14500</v>
      </c>
      <c r="D7" s="2">
        <v>13500</v>
      </c>
      <c r="E7" s="2">
        <v>12600</v>
      </c>
      <c r="F7" s="2">
        <v>18000</v>
      </c>
      <c r="G7" s="2">
        <v>15000</v>
      </c>
      <c r="H7" s="2">
        <v>9000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CDFE3-0DDB-4D3F-BB29-2883F62540C3}">
  <dimension ref="A1:E6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32</v>
      </c>
      <c r="C1" t="s">
        <v>33</v>
      </c>
      <c r="D1" t="s">
        <v>34</v>
      </c>
      <c r="E1" t="s">
        <v>10</v>
      </c>
    </row>
    <row r="2" spans="1:5" x14ac:dyDescent="0.35">
      <c r="A2" t="s">
        <v>17</v>
      </c>
      <c r="B2">
        <v>8</v>
      </c>
      <c r="C2">
        <v>5</v>
      </c>
      <c r="D2">
        <v>3</v>
      </c>
    </row>
    <row r="3" spans="1:5" x14ac:dyDescent="0.35">
      <c r="A3" t="s">
        <v>35</v>
      </c>
      <c r="B3">
        <v>0.5</v>
      </c>
      <c r="C3">
        <v>0.2</v>
      </c>
      <c r="D3">
        <v>0.05</v>
      </c>
      <c r="E3">
        <v>50</v>
      </c>
    </row>
    <row r="4" spans="1:5" x14ac:dyDescent="0.35">
      <c r="A4" t="s">
        <v>36</v>
      </c>
      <c r="B4">
        <v>0.3</v>
      </c>
      <c r="C4">
        <v>0.4</v>
      </c>
      <c r="D4">
        <v>0.2</v>
      </c>
      <c r="E4">
        <v>60</v>
      </c>
    </row>
    <row r="5" spans="1:5" x14ac:dyDescent="0.35">
      <c r="A5" t="s">
        <v>37</v>
      </c>
      <c r="B5">
        <v>0.2</v>
      </c>
      <c r="C5">
        <v>0.3</v>
      </c>
      <c r="D5">
        <v>0.35</v>
      </c>
      <c r="E5">
        <v>70</v>
      </c>
    </row>
    <row r="6" spans="1:5" x14ac:dyDescent="0.35">
      <c r="A6" t="s">
        <v>38</v>
      </c>
      <c r="B6">
        <v>0</v>
      </c>
      <c r="C6">
        <v>0.1</v>
      </c>
      <c r="D6">
        <v>0.4</v>
      </c>
      <c r="E6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6485-B35E-475A-B21A-7CB0AA5A0953}">
  <dimension ref="A1:E4"/>
  <sheetViews>
    <sheetView tabSelected="1" workbookViewId="0">
      <selection activeCell="M23" sqref="M23"/>
    </sheetView>
  </sheetViews>
  <sheetFormatPr defaultRowHeight="14.5" x14ac:dyDescent="0.35"/>
  <sheetData>
    <row r="1" spans="1:5" x14ac:dyDescent="0.35">
      <c r="B1" t="s">
        <v>41</v>
      </c>
      <c r="C1" t="s">
        <v>42</v>
      </c>
      <c r="D1" t="s">
        <v>43</v>
      </c>
      <c r="E1" t="s">
        <v>1</v>
      </c>
    </row>
    <row r="2" spans="1:5" x14ac:dyDescent="0.35">
      <c r="A2" t="s">
        <v>0</v>
      </c>
      <c r="B2">
        <v>240</v>
      </c>
      <c r="C2">
        <v>225</v>
      </c>
      <c r="D2">
        <v>425</v>
      </c>
    </row>
    <row r="3" spans="1:5" x14ac:dyDescent="0.35">
      <c r="A3" t="s">
        <v>39</v>
      </c>
      <c r="B3">
        <f>3*24</f>
        <v>72</v>
      </c>
      <c r="C3">
        <f>5*24</f>
        <v>120</v>
      </c>
      <c r="D3">
        <f>6*24</f>
        <v>144</v>
      </c>
      <c r="E3">
        <f>70*7*24</f>
        <v>11760</v>
      </c>
    </row>
    <row r="4" spans="1:5" x14ac:dyDescent="0.35">
      <c r="A4" t="s">
        <v>40</v>
      </c>
      <c r="B4">
        <v>2</v>
      </c>
      <c r="C4">
        <v>1.5</v>
      </c>
      <c r="D4">
        <v>3</v>
      </c>
      <c r="E4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ProjectSel1</vt:lpstr>
      <vt:lpstr>Prodline</vt:lpstr>
      <vt:lpstr>Assemble</vt:lpstr>
      <vt:lpstr>MandD</vt:lpstr>
      <vt:lpstr>Rocks</vt:lpstr>
      <vt:lpstr>Hosp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Roney</dc:creator>
  <cp:lastModifiedBy>Dani Roney</cp:lastModifiedBy>
  <dcterms:created xsi:type="dcterms:W3CDTF">2026-02-25T01:19:51Z</dcterms:created>
  <dcterms:modified xsi:type="dcterms:W3CDTF">2026-03-03T02:38:01Z</dcterms:modified>
</cp:coreProperties>
</file>